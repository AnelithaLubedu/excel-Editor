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016"/>
  <workbookPr/>
  <mc:AlternateContent xmlns:mc="http://schemas.openxmlformats.org/markup-compatibility/2006">
    <mc:Choice Requires="x15">
      <x15ac:absPath xmlns:x15ac="http://schemas.microsoft.com/office/spreadsheetml/2010/11/ac" url="/Users/albertjanmassenberg/Documents/vc4a/vc4a academy/Downloadable templates VC4A Academy/"/>
    </mc:Choice>
  </mc:AlternateContent>
  <bookViews>
    <workbookView xWindow="3800" yWindow="460" windowWidth="28160" windowHeight="15840" tabRatio="500"/>
  </bookViews>
  <sheets>
    <sheet name="Equity Calculator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2" i="1"/>
  <c r="E5" i="1"/>
  <c r="E6" i="1"/>
  <c r="E7" i="1"/>
  <c r="E8" i="1"/>
  <c r="E9" i="1"/>
  <c r="E10" i="1"/>
  <c r="E12" i="1"/>
  <c r="F5" i="1"/>
  <c r="F6" i="1"/>
  <c r="F7" i="1"/>
  <c r="F8" i="1"/>
  <c r="F9" i="1"/>
  <c r="F10" i="1"/>
  <c r="F12" i="1"/>
  <c r="G5" i="1"/>
  <c r="G6" i="1"/>
  <c r="G7" i="1"/>
  <c r="G8" i="1"/>
  <c r="G9" i="1"/>
  <c r="G10" i="1"/>
  <c r="G12" i="1"/>
  <c r="H12" i="1"/>
  <c r="D13" i="1"/>
  <c r="E13" i="1"/>
  <c r="F13" i="1"/>
  <c r="G13" i="1"/>
  <c r="H13" i="1"/>
</calcChain>
</file>

<file path=xl/sharedStrings.xml><?xml version="1.0" encoding="utf-8"?>
<sst xmlns="http://schemas.openxmlformats.org/spreadsheetml/2006/main" count="17" uniqueCount="17">
  <si>
    <t>Business Idea</t>
  </si>
  <si>
    <t>Business Plan</t>
  </si>
  <si>
    <t>Expertise</t>
  </si>
  <si>
    <t>Commitment</t>
  </si>
  <si>
    <t>Investment</t>
  </si>
  <si>
    <t>Responsibilities</t>
  </si>
  <si>
    <t>Founder 1</t>
  </si>
  <si>
    <t>Founder 2</t>
  </si>
  <si>
    <t>Founder 3</t>
  </si>
  <si>
    <t>Founder 4</t>
  </si>
  <si>
    <t>Weighting (1-5)</t>
  </si>
  <si>
    <t>Total Points</t>
  </si>
  <si>
    <t>% of total</t>
  </si>
  <si>
    <t>List the items you and your cofounders feel should be taken into consideration.</t>
  </si>
  <si>
    <t>Per each founder and criteria assign a score.</t>
  </si>
  <si>
    <t>Assign a weighting to each of the criteria.</t>
  </si>
  <si>
    <t xml:space="preserve">VC4A Calculator Founder Equity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</si>
</sst>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</font>
    <font>
      <sz val="8"/>
      <color rgb="FF00B1E5"/>
      <name val="Arial"/>
    </font>
    <font>
      <b/>
      <sz val="8"/>
      <color theme="1"/>
      <name val="Arial"/>
    </font>
    <font>
      <b/>
      <sz val="12"/>
      <color theme="1"/>
      <name val="Arial"/>
    </font>
    <font>
      <sz val="18"/>
      <color rgb="FF3BBC42"/>
      <name val="Arial Black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wrapText="1" shrinkToFit="1"/>
    </xf>
    <xf numFmtId="0" fontId="3" fillId="0" borderId="0" xfId="0" applyFont="1" applyAlignment="1">
      <alignment vertical="center" wrapText="1" shrinkToFit="1"/>
    </xf>
    <xf numFmtId="0" fontId="4" fillId="0" borderId="0" xfId="0" applyFont="1" applyAlignment="1">
      <alignment vertical="center" wrapText="1" shrinkToFit="1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1" fontId="2" fillId="0" borderId="3" xfId="1" applyNumberFormat="1" applyFont="1" applyBorder="1"/>
    <xf numFmtId="0" fontId="2" fillId="0" borderId="4" xfId="0" applyFont="1" applyBorder="1"/>
    <xf numFmtId="1" fontId="2" fillId="0" borderId="0" xfId="0" applyNumberFormat="1" applyFont="1"/>
    <xf numFmtId="0" fontId="2" fillId="0" borderId="5" xfId="0" applyFont="1" applyBorder="1"/>
    <xf numFmtId="0" fontId="2" fillId="0" borderId="6" xfId="0" applyFont="1" applyBorder="1"/>
    <xf numFmtId="9" fontId="2" fillId="0" borderId="6" xfId="1" applyFont="1" applyBorder="1"/>
    <xf numFmtId="9" fontId="2" fillId="0" borderId="7" xfId="1" applyFont="1" applyBorder="1"/>
    <xf numFmtId="9" fontId="2" fillId="0" borderId="0" xfId="0" applyNumberFormat="1" applyFont="1"/>
    <xf numFmtId="0" fontId="6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7"/>
  <colors>
    <mruColors>
      <color rgb="FF00B1E5"/>
      <color rgb="FF3BBC4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0</xdr:row>
      <xdr:rowOff>76200</xdr:rowOff>
    </xdr:from>
    <xdr:to>
      <xdr:col>0</xdr:col>
      <xdr:colOff>1066683</xdr:colOff>
      <xdr:row>1</xdr:row>
      <xdr:rowOff>444500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6200"/>
          <a:ext cx="812683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K8" sqref="K8"/>
    </sheetView>
  </sheetViews>
  <sheetFormatPr baseColWidth="10" defaultRowHeight="16" x14ac:dyDescent="0.2"/>
  <cols>
    <col min="1" max="1" width="18.83203125" style="1" customWidth="1"/>
    <col min="2" max="2" width="16.33203125" style="1" customWidth="1"/>
    <col min="3" max="3" width="17" style="1" customWidth="1"/>
    <col min="4" max="7" width="14.83203125" style="1" customWidth="1"/>
    <col min="8" max="16384" width="10.83203125" style="1"/>
  </cols>
  <sheetData>
    <row r="1" spans="1:8" x14ac:dyDescent="0.2">
      <c r="A1" s="21"/>
    </row>
    <row r="2" spans="1:8" ht="42" customHeight="1" x14ac:dyDescent="0.45">
      <c r="A2" s="21"/>
      <c r="B2" s="19" t="s">
        <v>16</v>
      </c>
      <c r="C2" s="19"/>
      <c r="D2" s="19"/>
      <c r="E2" s="20"/>
      <c r="F2" s="20"/>
    </row>
    <row r="3" spans="1:8" ht="41" customHeight="1" x14ac:dyDescent="0.2">
      <c r="B3" s="2" t="s">
        <v>13</v>
      </c>
      <c r="C3" s="3" t="s">
        <v>15</v>
      </c>
      <c r="D3" s="3" t="s">
        <v>14</v>
      </c>
      <c r="E3" s="4"/>
      <c r="F3" s="4"/>
      <c r="G3" s="4"/>
    </row>
    <row r="4" spans="1:8" ht="35" customHeight="1" x14ac:dyDescent="0.2">
      <c r="C4" s="5" t="s">
        <v>10</v>
      </c>
      <c r="D4" s="5" t="s">
        <v>6</v>
      </c>
      <c r="E4" s="5" t="s">
        <v>7</v>
      </c>
      <c r="F4" s="5" t="s">
        <v>8</v>
      </c>
      <c r="G4" s="5" t="s">
        <v>9</v>
      </c>
    </row>
    <row r="5" spans="1:8" ht="39" customHeight="1" x14ac:dyDescent="0.2">
      <c r="B5" s="6" t="s">
        <v>0</v>
      </c>
      <c r="C5" s="7">
        <v>1</v>
      </c>
      <c r="D5" s="8">
        <f>1*C5</f>
        <v>1</v>
      </c>
      <c r="E5" s="8">
        <f>2*C5</f>
        <v>2</v>
      </c>
      <c r="F5" s="8">
        <f>3*C5</f>
        <v>3</v>
      </c>
      <c r="G5" s="8">
        <f>4*C5</f>
        <v>4</v>
      </c>
    </row>
    <row r="6" spans="1:8" ht="39" customHeight="1" x14ac:dyDescent="0.2">
      <c r="B6" s="6" t="s">
        <v>1</v>
      </c>
      <c r="C6" s="7">
        <v>2</v>
      </c>
      <c r="D6" s="8">
        <f>2*C6</f>
        <v>4</v>
      </c>
      <c r="E6" s="8">
        <f>2*C6</f>
        <v>4</v>
      </c>
      <c r="F6" s="8">
        <f>2*C6</f>
        <v>4</v>
      </c>
      <c r="G6" s="8">
        <f>2*C6</f>
        <v>4</v>
      </c>
    </row>
    <row r="7" spans="1:8" ht="39" customHeight="1" x14ac:dyDescent="0.2">
      <c r="B7" s="6" t="s">
        <v>2</v>
      </c>
      <c r="C7" s="7">
        <v>3</v>
      </c>
      <c r="D7" s="8">
        <f t="shared" ref="D7:E7" si="0">1*C7</f>
        <v>3</v>
      </c>
      <c r="E7" s="8">
        <f t="shared" si="0"/>
        <v>3</v>
      </c>
      <c r="F7" s="8">
        <f t="shared" ref="F7:G7" si="1">1*E7</f>
        <v>3</v>
      </c>
      <c r="G7" s="8">
        <f t="shared" si="1"/>
        <v>3</v>
      </c>
    </row>
    <row r="8" spans="1:8" ht="39" customHeight="1" x14ac:dyDescent="0.2">
      <c r="B8" s="6" t="s">
        <v>3</v>
      </c>
      <c r="C8" s="7">
        <v>4</v>
      </c>
      <c r="D8" s="8">
        <f>5*C8</f>
        <v>20</v>
      </c>
      <c r="E8" s="8">
        <f>4*C8</f>
        <v>16</v>
      </c>
      <c r="F8" s="8">
        <f>2*C8</f>
        <v>8</v>
      </c>
      <c r="G8" s="8">
        <f>2*C8</f>
        <v>8</v>
      </c>
    </row>
    <row r="9" spans="1:8" ht="39" customHeight="1" x14ac:dyDescent="0.2">
      <c r="B9" s="6" t="s">
        <v>4</v>
      </c>
      <c r="C9" s="7">
        <v>3</v>
      </c>
      <c r="D9" s="8">
        <f>5*C9</f>
        <v>15</v>
      </c>
      <c r="E9" s="8">
        <f>3*C9</f>
        <v>9</v>
      </c>
      <c r="F9" s="8">
        <f>3*C9</f>
        <v>9</v>
      </c>
      <c r="G9" s="8">
        <f>3*C9</f>
        <v>9</v>
      </c>
    </row>
    <row r="10" spans="1:8" ht="39" customHeight="1" x14ac:dyDescent="0.2">
      <c r="B10" s="6" t="s">
        <v>5</v>
      </c>
      <c r="C10" s="7">
        <v>5</v>
      </c>
      <c r="D10" s="8">
        <f>5*C10</f>
        <v>25</v>
      </c>
      <c r="E10" s="8">
        <f>5*C10</f>
        <v>25</v>
      </c>
      <c r="F10" s="8">
        <f>3*C10</f>
        <v>15</v>
      </c>
      <c r="G10" s="8">
        <f>3*C10</f>
        <v>15</v>
      </c>
    </row>
    <row r="11" spans="1:8" ht="17" thickBot="1" x14ac:dyDescent="0.25"/>
    <row r="12" spans="1:8" x14ac:dyDescent="0.2">
      <c r="B12" s="9" t="s">
        <v>11</v>
      </c>
      <c r="C12" s="10"/>
      <c r="D12" s="11">
        <f>SUM(D5:D11)</f>
        <v>68</v>
      </c>
      <c r="E12" s="10">
        <f>SUM(E5:E11)</f>
        <v>59</v>
      </c>
      <c r="F12" s="10">
        <f>SUM(F5:F11)</f>
        <v>42</v>
      </c>
      <c r="G12" s="12">
        <f>SUM(G5:G11)</f>
        <v>43</v>
      </c>
      <c r="H12" s="13">
        <f>SUM(D12:G12)</f>
        <v>212</v>
      </c>
    </row>
    <row r="13" spans="1:8" ht="17" thickBot="1" x14ac:dyDescent="0.25">
      <c r="B13" s="14" t="s">
        <v>12</v>
      </c>
      <c r="C13" s="15"/>
      <c r="D13" s="16">
        <f>D12/H12</f>
        <v>0.32075471698113206</v>
      </c>
      <c r="E13" s="16">
        <f>E12/H12</f>
        <v>0.27830188679245282</v>
      </c>
      <c r="F13" s="16">
        <f>F12/H12</f>
        <v>0.19811320754716982</v>
      </c>
      <c r="G13" s="17">
        <f>G12/H12</f>
        <v>0.20283018867924529</v>
      </c>
      <c r="H13" s="18">
        <f>SUM(D13:G13)</f>
        <v>1</v>
      </c>
    </row>
  </sheetData>
  <mergeCells count="1">
    <mergeCell ref="A1:A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 Calculator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2017-03-02T13:07:19Z</dcterms:created>
  <dcterms:modified xsi:type="dcterms:W3CDTF">2017-03-14T16:01:45Z</dcterms:modified>
</cp:coreProperties>
</file>